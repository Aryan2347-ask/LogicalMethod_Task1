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Excel\Practice\"/>
    </mc:Choice>
  </mc:AlternateContent>
  <xr:revisionPtr revIDLastSave="0" documentId="13_ncr:1_{C03E5A79-049B-4F1E-BB25-CFBCC659198E}" xr6:coauthVersionLast="47" xr6:coauthVersionMax="47" xr10:uidLastSave="{00000000-0000-0000-0000-000000000000}"/>
  <bookViews>
    <workbookView xWindow="-108" yWindow="-108" windowWidth="23256" windowHeight="12456" xr2:uid="{7EFEBD6F-ECEE-4635-90F8-4200A407ED5F}"/>
  </bookViews>
  <sheets>
    <sheet name="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J20" i="1" s="1"/>
  <c r="I21" i="1" s="1" a="1"/>
  <c r="I21" i="1" s="1"/>
  <c r="N5" i="1"/>
  <c r="N6" i="1"/>
  <c r="P6" i="1"/>
  <c r="P7" i="1"/>
  <c r="P8" i="1"/>
  <c r="P9" i="1"/>
  <c r="P10" i="1"/>
  <c r="P5" i="1"/>
  <c r="O6" i="1"/>
  <c r="O5" i="1"/>
  <c r="O7" i="1"/>
  <c r="N7" i="1"/>
  <c r="N8" i="1"/>
  <c r="O8" i="1" s="1"/>
  <c r="N9" i="1"/>
  <c r="O9" i="1" s="1"/>
  <c r="N10" i="1"/>
  <c r="O10" i="1" s="1"/>
  <c r="M6" i="1"/>
  <c r="M7" i="1"/>
  <c r="M8" i="1"/>
  <c r="M9" i="1"/>
  <c r="M10" i="1"/>
  <c r="M5" i="1"/>
  <c r="L6" i="1"/>
  <c r="L7" i="1"/>
  <c r="L8" i="1"/>
  <c r="L9" i="1"/>
  <c r="L10" i="1"/>
  <c r="L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<sst xmlns="http://schemas.openxmlformats.org/spreadsheetml/2006/main" count="63" uniqueCount="52">
  <si>
    <t>seat no</t>
  </si>
  <si>
    <t>Coustomer Name</t>
  </si>
  <si>
    <t>Baggage-weight</t>
  </si>
  <si>
    <t>seat class</t>
  </si>
  <si>
    <t>ticket no</t>
  </si>
  <si>
    <t>price</t>
  </si>
  <si>
    <t>from</t>
  </si>
  <si>
    <t>to</t>
  </si>
  <si>
    <t>cust1</t>
  </si>
  <si>
    <t>P</t>
  </si>
  <si>
    <t>T-101</t>
  </si>
  <si>
    <t>Nagpur</t>
  </si>
  <si>
    <t>Delhi</t>
  </si>
  <si>
    <t>Indigo</t>
  </si>
  <si>
    <t>cust2</t>
  </si>
  <si>
    <t>E</t>
  </si>
  <si>
    <t>T-102</t>
  </si>
  <si>
    <t>Pune</t>
  </si>
  <si>
    <t>Mumbai</t>
  </si>
  <si>
    <t>AIR India</t>
  </si>
  <si>
    <t>cust3</t>
  </si>
  <si>
    <t>L</t>
  </si>
  <si>
    <t>T-103</t>
  </si>
  <si>
    <t>Dubai</t>
  </si>
  <si>
    <t>Qatar Airlines</t>
  </si>
  <si>
    <t>cust4</t>
  </si>
  <si>
    <t>T-104</t>
  </si>
  <si>
    <t>cust5</t>
  </si>
  <si>
    <t>T-105</t>
  </si>
  <si>
    <t>cust6</t>
  </si>
  <si>
    <t>T-106</t>
  </si>
  <si>
    <t>Hyderabad</t>
  </si>
  <si>
    <t>Air Inida</t>
  </si>
  <si>
    <t>problem + logic = output</t>
  </si>
  <si>
    <t>can we buy ticket at budget 60</t>
  </si>
  <si>
    <t>which ticket can I buy</t>
  </si>
  <si>
    <t>Budget</t>
  </si>
  <si>
    <t>If - else</t>
  </si>
  <si>
    <t>If else If</t>
  </si>
  <si>
    <t>Increase Budget</t>
  </si>
  <si>
    <t>Time</t>
  </si>
  <si>
    <t>Company</t>
  </si>
  <si>
    <t>Reference Time</t>
  </si>
  <si>
    <t>Time - diff</t>
  </si>
  <si>
    <t>Q1</t>
  </si>
  <si>
    <t>Q2</t>
  </si>
  <si>
    <t>Meeting Time - 8:30 PM</t>
  </si>
  <si>
    <t>solve logic to find least time for travel and ticket</t>
  </si>
  <si>
    <t>Output</t>
  </si>
  <si>
    <t>Difference Time</t>
  </si>
  <si>
    <t>Status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</si>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</sst>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0" borderId="0" xfId="0" applyNumberFormat="1"/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DE3C-95D2-4F04-85D4-C3777C356E69}">
  <dimension ref="B4:P21"/>
  <sheetViews>
    <sheetView tabSelected="1" zoomScale="93" zoomScaleNormal="100" workbookViewId="0">
      <selection activeCell="D29" sqref="D29"/>
    </sheetView>
  </sheetViews>
  <sheetFormatPr defaultRowHeight="14.4" x14ac:dyDescent="0.3"/>
  <cols>
    <col min="2" max="2" width="9.6640625" bestFit="1" customWidth="1"/>
    <col min="3" max="3" width="21.6640625" bestFit="1" customWidth="1"/>
    <col min="4" max="4" width="20" bestFit="1" customWidth="1"/>
    <col min="5" max="5" width="14.109375" bestFit="1" customWidth="1"/>
    <col min="6" max="6" width="12.77734375" customWidth="1"/>
    <col min="8" max="8" width="14.109375" bestFit="1" customWidth="1"/>
    <col min="9" max="9" width="12.77734375" customWidth="1"/>
    <col min="10" max="10" width="12.88671875" customWidth="1"/>
    <col min="11" max="11" width="12" bestFit="1" customWidth="1"/>
    <col min="12" max="12" width="20" bestFit="1" customWidth="1"/>
    <col min="13" max="13" width="16.33203125" bestFit="1" customWidth="1"/>
    <col min="14" max="14" width="12.77734375" customWidth="1"/>
    <col min="15" max="15" width="11.33203125" bestFit="1" customWidth="1"/>
    <col min="16" max="16" width="12.6640625" bestFit="1" customWidth="1"/>
  </cols>
  <sheetData>
    <row r="4" spans="2:16" ht="17.399999999999999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40</v>
      </c>
      <c r="K4" s="1" t="s">
        <v>41</v>
      </c>
      <c r="L4" s="1" t="s">
        <v>37</v>
      </c>
      <c r="M4" s="1" t="s">
        <v>38</v>
      </c>
      <c r="N4" s="1" t="s">
        <v>43</v>
      </c>
      <c r="O4" s="1" t="s">
        <v>48</v>
      </c>
      <c r="P4" s="1" t="s">
        <v>50</v>
      </c>
    </row>
    <row r="5" spans="2:16" x14ac:dyDescent="0.3">
      <c r="B5" s="2">
        <v>101</v>
      </c>
      <c r="C5" s="2" t="s">
        <v>8</v>
      </c>
      <c r="D5" s="2">
        <v>20</v>
      </c>
      <c r="E5" s="2" t="s">
        <v>9</v>
      </c>
      <c r="F5" s="2" t="s">
        <v>10</v>
      </c>
      <c r="G5" s="2">
        <v>60</v>
      </c>
      <c r="H5" s="2" t="s">
        <v>11</v>
      </c>
      <c r="I5" s="2" t="s">
        <v>12</v>
      </c>
      <c r="J5" s="6">
        <v>0.83333333333333337</v>
      </c>
      <c r="K5" s="2" t="s">
        <v>13</v>
      </c>
      <c r="L5" s="2" t="str">
        <f>IF(F$12&gt;=G5,"Good Budget","Low Budget")</f>
        <v>Good Budget</v>
      </c>
      <c r="M5" s="2" t="str">
        <f>IF(F$12&gt;G5,"Good Budget",IF(F$13&gt;G5,"Inc Budget is good ","Low Budget"))</f>
        <v xml:space="preserve">Inc Budget is good </v>
      </c>
      <c r="N5" s="6">
        <f>I$12-J5</f>
        <v>2.0833333333333259E-2</v>
      </c>
      <c r="O5" s="2" t="str">
        <f>IF(I$13&lt;N5,"Travel","Can't Travel")</f>
        <v>Can't Travel</v>
      </c>
      <c r="P5" s="2" t="str">
        <f>IF(N5&lt;0,"Less Time",IF(N5=$N$6,"Perfect choice","Wait"))</f>
        <v>Wait</v>
      </c>
    </row>
    <row r="6" spans="2:16" x14ac:dyDescent="0.3">
      <c r="B6" s="2">
        <v>102</v>
      </c>
      <c r="C6" s="2" t="s">
        <v>14</v>
      </c>
      <c r="D6" s="2">
        <v>30</v>
      </c>
      <c r="E6" s="2" t="s">
        <v>15</v>
      </c>
      <c r="F6" s="2" t="s">
        <v>16</v>
      </c>
      <c r="G6" s="2">
        <v>50</v>
      </c>
      <c r="H6" s="2" t="s">
        <v>17</v>
      </c>
      <c r="I6" s="2" t="s">
        <v>18</v>
      </c>
      <c r="J6" s="6">
        <v>0.64583333333333337</v>
      </c>
      <c r="K6" s="2" t="s">
        <v>19</v>
      </c>
      <c r="L6" s="2" t="str">
        <f t="shared" ref="L6:L10" si="0">IF(F$12&gt;=G6,"Good Budget","Low Budget")</f>
        <v>Good Budget</v>
      </c>
      <c r="M6" s="2" t="str">
        <f t="shared" ref="M6:M10" si="1">IF(F$12&gt;G6,"Good Budget",IF(F$13&gt;G6,"Inc Budget is good ","Low Budget"))</f>
        <v>Good Budget</v>
      </c>
      <c r="N6" s="6">
        <f>I$12-J6</f>
        <v>0.20833333333333326</v>
      </c>
      <c r="O6" s="2" t="str">
        <f>IF(I$13&lt;N6,"Travel","Can't Travel")</f>
        <v>Travel</v>
      </c>
      <c r="P6" s="2" t="str">
        <f t="shared" ref="P6:P10" si="2">IF(N6&lt;0,"Less Time",IF(N6=$N$6,"Perfect choice","Wait"))</f>
        <v>Perfect choice</v>
      </c>
    </row>
    <row r="7" spans="2:16" x14ac:dyDescent="0.3">
      <c r="B7" s="2">
        <v>103</v>
      </c>
      <c r="C7" s="2" t="s">
        <v>20</v>
      </c>
      <c r="D7" s="2">
        <v>40</v>
      </c>
      <c r="E7" s="2" t="s">
        <v>21</v>
      </c>
      <c r="F7" s="2" t="s">
        <v>22</v>
      </c>
      <c r="G7" s="2">
        <v>100</v>
      </c>
      <c r="H7" s="2" t="s">
        <v>11</v>
      </c>
      <c r="I7" s="2" t="s">
        <v>23</v>
      </c>
      <c r="J7" s="6">
        <v>0.34027777777777779</v>
      </c>
      <c r="K7" s="2" t="s">
        <v>24</v>
      </c>
      <c r="L7" s="2" t="str">
        <f t="shared" si="0"/>
        <v>Low Budget</v>
      </c>
      <c r="M7" s="2" t="str">
        <f t="shared" si="1"/>
        <v>Low Budget</v>
      </c>
      <c r="N7" s="6">
        <f t="shared" ref="N6:N10" si="3">I$12-J7</f>
        <v>0.51388888888888884</v>
      </c>
      <c r="O7" s="2" t="str">
        <f t="shared" ref="O6:O10" si="4">IF(I$13&lt;N7,"Travel","Can't Travel")</f>
        <v>Travel</v>
      </c>
      <c r="P7" s="2" t="str">
        <f t="shared" si="2"/>
        <v>Wait</v>
      </c>
    </row>
    <row r="8" spans="2:16" x14ac:dyDescent="0.3">
      <c r="B8" s="2">
        <v>104</v>
      </c>
      <c r="C8" s="2" t="s">
        <v>25</v>
      </c>
      <c r="D8" s="2">
        <v>10</v>
      </c>
      <c r="E8" s="2" t="s">
        <v>21</v>
      </c>
      <c r="F8" s="2" t="s">
        <v>26</v>
      </c>
      <c r="G8" s="2">
        <v>120</v>
      </c>
      <c r="H8" s="2" t="s">
        <v>23</v>
      </c>
      <c r="I8" s="2" t="s">
        <v>18</v>
      </c>
      <c r="J8" s="6">
        <v>2.361111111111111E-2</v>
      </c>
      <c r="K8" s="2" t="s">
        <v>24</v>
      </c>
      <c r="L8" s="2" t="str">
        <f t="shared" si="0"/>
        <v>Low Budget</v>
      </c>
      <c r="M8" s="2" t="str">
        <f t="shared" si="1"/>
        <v>Low Budget</v>
      </c>
      <c r="N8" s="6">
        <f t="shared" si="3"/>
        <v>0.83055555555555549</v>
      </c>
      <c r="O8" s="2" t="str">
        <f t="shared" si="4"/>
        <v>Travel</v>
      </c>
      <c r="P8" s="2" t="str">
        <f t="shared" si="2"/>
        <v>Wait</v>
      </c>
    </row>
    <row r="9" spans="2:16" x14ac:dyDescent="0.3">
      <c r="B9" s="2">
        <v>105</v>
      </c>
      <c r="C9" s="2" t="s">
        <v>27</v>
      </c>
      <c r="D9" s="2">
        <v>30</v>
      </c>
      <c r="E9" s="2" t="s">
        <v>15</v>
      </c>
      <c r="F9" s="2" t="s">
        <v>28</v>
      </c>
      <c r="G9" s="2">
        <v>30</v>
      </c>
      <c r="H9" s="2" t="s">
        <v>11</v>
      </c>
      <c r="I9" s="2" t="s">
        <v>12</v>
      </c>
      <c r="J9" s="6">
        <v>0.99652777777777779</v>
      </c>
      <c r="K9" s="2" t="s">
        <v>13</v>
      </c>
      <c r="L9" s="2" t="str">
        <f t="shared" si="0"/>
        <v>Good Budget</v>
      </c>
      <c r="M9" s="2" t="str">
        <f t="shared" si="1"/>
        <v>Good Budget</v>
      </c>
      <c r="N9" s="6">
        <f t="shared" si="3"/>
        <v>-0.14236111111111116</v>
      </c>
      <c r="O9" s="2" t="str">
        <f t="shared" si="4"/>
        <v>Can't Travel</v>
      </c>
      <c r="P9" s="2" t="str">
        <f t="shared" si="2"/>
        <v>Less Time</v>
      </c>
    </row>
    <row r="10" spans="2:16" x14ac:dyDescent="0.3">
      <c r="B10" s="2">
        <v>106</v>
      </c>
      <c r="C10" s="2" t="s">
        <v>29</v>
      </c>
      <c r="D10" s="2">
        <v>30</v>
      </c>
      <c r="E10" s="2" t="s">
        <v>9</v>
      </c>
      <c r="F10" s="2" t="s">
        <v>30</v>
      </c>
      <c r="G10" s="2">
        <v>60</v>
      </c>
      <c r="H10" s="2" t="s">
        <v>31</v>
      </c>
      <c r="I10" s="2" t="s">
        <v>11</v>
      </c>
      <c r="J10" s="6">
        <v>0.50347222222222221</v>
      </c>
      <c r="K10" s="2" t="s">
        <v>32</v>
      </c>
      <c r="L10" s="2" t="str">
        <f t="shared" si="0"/>
        <v>Good Budget</v>
      </c>
      <c r="M10" s="2" t="str">
        <f t="shared" si="1"/>
        <v xml:space="preserve">Inc Budget is good </v>
      </c>
      <c r="N10" s="6">
        <f t="shared" si="3"/>
        <v>0.35069444444444442</v>
      </c>
      <c r="O10" s="2" t="str">
        <f t="shared" si="4"/>
        <v>Travel</v>
      </c>
      <c r="P10" s="2" t="str">
        <f t="shared" si="2"/>
        <v>Wait</v>
      </c>
    </row>
    <row r="12" spans="2:16" x14ac:dyDescent="0.3">
      <c r="E12" s="4" t="s">
        <v>36</v>
      </c>
      <c r="F12">
        <v>60</v>
      </c>
      <c r="H12" s="3" t="s">
        <v>42</v>
      </c>
      <c r="I12" s="5">
        <v>0.85416666666666663</v>
      </c>
    </row>
    <row r="13" spans="2:16" x14ac:dyDescent="0.3">
      <c r="E13" s="3" t="s">
        <v>39</v>
      </c>
      <c r="F13">
        <v>80</v>
      </c>
      <c r="H13" s="10" t="s">
        <v>49</v>
      </c>
      <c r="I13" s="5">
        <v>2.0833333333333332E-2</v>
      </c>
    </row>
    <row r="15" spans="2:16" x14ac:dyDescent="0.3">
      <c r="E15" s="14" t="s">
        <v>33</v>
      </c>
      <c r="F15" s="14"/>
    </row>
    <row r="17" spans="4:12" x14ac:dyDescent="0.3">
      <c r="D17" s="7" t="s">
        <v>44</v>
      </c>
      <c r="E17" s="9" t="s">
        <v>34</v>
      </c>
      <c r="F17" s="9"/>
      <c r="H17" s="8" t="s">
        <v>45</v>
      </c>
      <c r="I17" s="9" t="s">
        <v>46</v>
      </c>
      <c r="J17" s="9"/>
    </row>
    <row r="18" spans="4:12" x14ac:dyDescent="0.3">
      <c r="E18" s="9" t="s">
        <v>35</v>
      </c>
      <c r="F18" s="9"/>
      <c r="I18" s="9" t="s">
        <v>47</v>
      </c>
      <c r="J18" s="9"/>
      <c r="K18" s="9"/>
      <c r="L18" s="9"/>
    </row>
    <row r="20" spans="4:12" x14ac:dyDescent="0.3">
      <c r="H20" s="11" t="s">
        <v>51</v>
      </c>
      <c r="I20" s="13">
        <f>_xlfn.MINIFS(N5:N10,O5:O10,"Travel")</f>
        <v>0.20833333333333326</v>
      </c>
      <c r="J20" s="12">
        <f>MATCH(I20,N5:N10)</f>
        <v>2</v>
      </c>
    </row>
    <row r="21" spans="4:12" x14ac:dyDescent="0.3">
      <c r="I21" s="8" t="str" cm="1">
        <f t="array" ref="I21">INDEX(F5:F10,J20)</f>
        <v>T-102</v>
      </c>
    </row>
  </sheetData>
  <mergeCells count="5">
    <mergeCell ref="E15:F15"/>
    <mergeCell ref="E17:F17"/>
    <mergeCell ref="E18:F18"/>
    <mergeCell ref="I17:J17"/>
    <mergeCell ref="I18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Khanorkar</dc:creator>
  <cp:lastModifiedBy>Aryan Khanorkar</cp:lastModifiedBy>
  <dcterms:created xsi:type="dcterms:W3CDTF">2026-03-14T02:14:46Z</dcterms:created>
  <dcterms:modified xsi:type="dcterms:W3CDTF">2026-03-14T16:24:29Z</dcterms:modified>
</cp:coreProperties>
</file>